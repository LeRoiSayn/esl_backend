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cuments/Unilak/"/>
    </mc:Choice>
  </mc:AlternateContent>
  <xr:revisionPtr revIDLastSave="0" documentId="13_ncr:1_{7DC4EF1B-4C6F-AC4C-8FD3-AD3B652F38BE}" xr6:coauthVersionLast="47" xr6:coauthVersionMax="47" xr10:uidLastSave="{00000000-0000-0000-0000-000000000000}"/>
  <bookViews>
    <workbookView xWindow="380" yWindow="500" windowWidth="28040" windowHeight="16680" activeTab="2" xr2:uid="{5B52E37D-EBED-F241-8CD6-4A2D146F54EF}"/>
  </bookViews>
  <sheets>
    <sheet name="Year 1" sheetId="1" r:id="rId1"/>
    <sheet name="Year 2" sheetId="2" r:id="rId2"/>
    <sheet name="Year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B17" i="3"/>
  <c r="D4" i="3"/>
  <c r="D5" i="3"/>
  <c r="D6" i="3"/>
  <c r="D7" i="3"/>
  <c r="D8" i="3"/>
  <c r="D9" i="3"/>
  <c r="D10" i="3"/>
  <c r="D11" i="3"/>
  <c r="D12" i="3"/>
  <c r="D13" i="3"/>
  <c r="D14" i="3"/>
  <c r="D15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3" i="2"/>
  <c r="D18" i="2" s="1"/>
  <c r="C20" i="2" s="1"/>
  <c r="C21" i="2" s="1"/>
  <c r="C18" i="2"/>
  <c r="B18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C21" i="1"/>
  <c r="B21" i="1"/>
  <c r="D17" i="3" l="1"/>
  <c r="C19" i="3" s="1"/>
  <c r="D21" i="1"/>
  <c r="C23" i="1" s="1"/>
  <c r="C24" i="1" s="1"/>
  <c r="C20" i="3" l="1"/>
  <c r="C24" i="3" s="1"/>
  <c r="C23" i="3"/>
</calcChain>
</file>

<file path=xl/sharedStrings.xml><?xml version="1.0" encoding="utf-8"?>
<sst xmlns="http://schemas.openxmlformats.org/spreadsheetml/2006/main" count="58" uniqueCount="52">
  <si>
    <t>YEAR 1</t>
  </si>
  <si>
    <t>General Mathematics </t>
  </si>
  <si>
    <t>Kinyarwanda </t>
  </si>
  <si>
    <t>English I</t>
  </si>
  <si>
    <t>General and Applied Ethics </t>
  </si>
  <si>
    <t>Introduction to IT</t>
  </si>
  <si>
    <t>Study and Research Skills</t>
  </si>
  <si>
    <t>Principles of Management</t>
  </si>
  <si>
    <t>Fundamentals Of Algorithms</t>
  </si>
  <si>
    <t>Introduction To Software Engineering</t>
  </si>
  <si>
    <t>Database Management System</t>
  </si>
  <si>
    <t>Discrete Mathematics</t>
  </si>
  <si>
    <t>Information Technology</t>
  </si>
  <si>
    <t>Visual Programming</t>
  </si>
  <si>
    <t>Software Modeling</t>
  </si>
  <si>
    <t>Entrepreneurship</t>
  </si>
  <si>
    <t>Introduction To Programming</t>
  </si>
  <si>
    <t>Database Programming</t>
  </si>
  <si>
    <t>YEAR 2</t>
  </si>
  <si>
    <t>Computer Networks &amp; Data Communication</t>
  </si>
  <si>
    <t>Operating Systems And System Administration</t>
  </si>
  <si>
    <t>English II</t>
  </si>
  <si>
    <t>Object Oriented Programming Using Java</t>
  </si>
  <si>
    <t>Operations Research</t>
  </si>
  <si>
    <t>Data Structures</t>
  </si>
  <si>
    <t>Software Testing and Quality Assurance</t>
  </si>
  <si>
    <t>Dcf,pc Organization And Maintenance</t>
  </si>
  <si>
    <t>Database Administration</t>
  </si>
  <si>
    <t>Software Process and Management</t>
  </si>
  <si>
    <t>Emerging Technology</t>
  </si>
  <si>
    <t>Research Methodology And Proposal Writing</t>
  </si>
  <si>
    <t>Internet of Things</t>
  </si>
  <si>
    <t>Statistics And Probability</t>
  </si>
  <si>
    <t>YEAR 3</t>
  </si>
  <si>
    <t>Advanced Programming</t>
  </si>
  <si>
    <t>Business Communication Skills</t>
  </si>
  <si>
    <t>Web Technology</t>
  </si>
  <si>
    <t>Data Warehouse And Data Mining</t>
  </si>
  <si>
    <t>Human Computer Interaction</t>
  </si>
  <si>
    <t>E-commerce And Web Application</t>
  </si>
  <si>
    <t>It Law And Business Ethics</t>
  </si>
  <si>
    <t>Software Architecture</t>
  </si>
  <si>
    <t>Advanced Mobile Application Development</t>
  </si>
  <si>
    <t>System And Information Security</t>
  </si>
  <si>
    <t>Internship</t>
  </si>
  <si>
    <t>Final Year Project</t>
  </si>
  <si>
    <t>Software Verfication And Validation</t>
  </si>
  <si>
    <t>Note total sur 100</t>
  </si>
  <si>
    <t>Note total sur 20</t>
  </si>
  <si>
    <t>Totaux</t>
  </si>
  <si>
    <t>Note total des 3 années /100</t>
  </si>
  <si>
    <t>Note total des 3 années 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</si>
</sst>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theme="1"/>
      <name val="Helvetica Neue"/>
      <family val="2"/>
    </font>
    <font>
      <b/>
      <u/>
      <sz val="13"/>
      <color theme="1"/>
      <name val="Helvetica Neue"/>
      <family val="2"/>
    </font>
    <font>
      <sz val="8"/>
      <name val="Calibri"/>
      <family val="2"/>
      <scheme val="minor"/>
    </font>
    <font>
      <b/>
      <sz val="13"/>
      <color theme="1"/>
      <name val="Avenir Book"/>
      <family val="2"/>
    </font>
    <font>
      <b/>
      <u/>
      <sz val="13"/>
      <color theme="1"/>
      <name val="Avenir Book"/>
      <family val="2"/>
    </font>
    <font>
      <sz val="13"/>
      <color theme="1"/>
      <name val="Avenir Book"/>
      <family val="2"/>
    </font>
    <font>
      <sz val="13"/>
      <color rgb="FFFF0000"/>
      <name val="Avenir Book"/>
      <family val="2"/>
    </font>
    <font>
      <b/>
      <sz val="13"/>
      <color rgb="FFFF0000"/>
      <name val="Avenir Book"/>
      <family val="2"/>
    </font>
    <font>
      <b/>
      <sz val="13"/>
      <color rgb="FF005E5A"/>
      <name val="Avenir Book"/>
      <family val="2"/>
    </font>
    <font>
      <sz val="13"/>
      <color rgb="FF005E5A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E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1DF2-551F-3945-A00E-9B8610A1FEB4}">
  <dimension ref="A1:D67"/>
  <sheetViews>
    <sheetView workbookViewId="0">
      <selection activeCell="C7" sqref="C7"/>
    </sheetView>
  </sheetViews>
  <sheetFormatPr baseColWidth="10" defaultRowHeight="16" x14ac:dyDescent="0.2"/>
  <cols>
    <col min="1" max="1" width="47.33203125" customWidth="1"/>
  </cols>
  <sheetData>
    <row r="1" spans="1:4" ht="17" x14ac:dyDescent="0.2">
      <c r="A1" s="1" t="s">
        <v>0</v>
      </c>
    </row>
    <row r="2" spans="1:4" ht="19" x14ac:dyDescent="0.3">
      <c r="A2" s="4"/>
      <c r="B2" s="5"/>
      <c r="C2" s="5"/>
      <c r="D2" s="5"/>
    </row>
    <row r="3" spans="1:4" ht="19" x14ac:dyDescent="0.3">
      <c r="A3" s="5" t="s">
        <v>1</v>
      </c>
      <c r="B3" s="5">
        <v>10</v>
      </c>
      <c r="C3" s="5">
        <v>63</v>
      </c>
      <c r="D3" s="5">
        <f>C3*B3</f>
        <v>630</v>
      </c>
    </row>
    <row r="4" spans="1:4" ht="19" x14ac:dyDescent="0.3">
      <c r="A4" s="5" t="s">
        <v>2</v>
      </c>
      <c r="B4" s="5">
        <v>10</v>
      </c>
      <c r="C4" s="5">
        <v>74</v>
      </c>
      <c r="D4" s="5">
        <f t="shared" ref="D4:D19" si="0">C4*B4</f>
        <v>740</v>
      </c>
    </row>
    <row r="5" spans="1:4" ht="19" x14ac:dyDescent="0.3">
      <c r="A5" s="5" t="s">
        <v>3</v>
      </c>
      <c r="B5" s="5">
        <v>10</v>
      </c>
      <c r="C5" s="5">
        <v>76.8</v>
      </c>
      <c r="D5" s="5">
        <f t="shared" si="0"/>
        <v>768</v>
      </c>
    </row>
    <row r="6" spans="1:4" ht="19" x14ac:dyDescent="0.3">
      <c r="A6" s="5" t="s">
        <v>4</v>
      </c>
      <c r="B6" s="5">
        <v>10</v>
      </c>
      <c r="C6" s="5"/>
      <c r="D6" s="5">
        <f t="shared" si="0"/>
        <v>0</v>
      </c>
    </row>
    <row r="7" spans="1:4" ht="19" x14ac:dyDescent="0.3">
      <c r="A7" s="5" t="s">
        <v>5</v>
      </c>
      <c r="B7" s="5">
        <v>10</v>
      </c>
      <c r="C7" s="5">
        <v>76.45</v>
      </c>
      <c r="D7" s="5">
        <f t="shared" si="0"/>
        <v>764.5</v>
      </c>
    </row>
    <row r="8" spans="1:4" ht="19" x14ac:dyDescent="0.3">
      <c r="A8" s="5" t="s">
        <v>6</v>
      </c>
      <c r="B8" s="5">
        <v>10</v>
      </c>
      <c r="C8" s="5">
        <v>68.55</v>
      </c>
      <c r="D8" s="5">
        <f t="shared" si="0"/>
        <v>685.5</v>
      </c>
    </row>
    <row r="9" spans="1:4" ht="19" x14ac:dyDescent="0.3">
      <c r="A9" s="5" t="s">
        <v>7</v>
      </c>
      <c r="B9" s="5">
        <v>10</v>
      </c>
      <c r="C9" s="5">
        <v>83</v>
      </c>
      <c r="D9" s="5">
        <f t="shared" si="0"/>
        <v>830</v>
      </c>
    </row>
    <row r="10" spans="1:4" ht="19" x14ac:dyDescent="0.3">
      <c r="A10" s="5" t="s">
        <v>8</v>
      </c>
      <c r="B10" s="5">
        <v>10</v>
      </c>
      <c r="C10" s="5">
        <v>53</v>
      </c>
      <c r="D10" s="5">
        <f t="shared" si="0"/>
        <v>530</v>
      </c>
    </row>
    <row r="11" spans="1:4" ht="19" x14ac:dyDescent="0.3">
      <c r="A11" s="5" t="s">
        <v>9</v>
      </c>
      <c r="B11" s="5">
        <v>10</v>
      </c>
      <c r="C11" s="5">
        <v>76.5</v>
      </c>
      <c r="D11" s="5">
        <f t="shared" si="0"/>
        <v>765</v>
      </c>
    </row>
    <row r="12" spans="1:4" ht="19" x14ac:dyDescent="0.3">
      <c r="A12" s="5" t="s">
        <v>10</v>
      </c>
      <c r="B12" s="5">
        <v>10</v>
      </c>
      <c r="C12" s="5">
        <v>86</v>
      </c>
      <c r="D12" s="5">
        <f t="shared" si="0"/>
        <v>860</v>
      </c>
    </row>
    <row r="13" spans="1:4" ht="19" x14ac:dyDescent="0.3">
      <c r="A13" s="5" t="s">
        <v>11</v>
      </c>
      <c r="B13" s="5">
        <v>10</v>
      </c>
      <c r="C13" s="5">
        <v>66</v>
      </c>
      <c r="D13" s="5">
        <f t="shared" si="0"/>
        <v>660</v>
      </c>
    </row>
    <row r="14" spans="1:4" ht="19" x14ac:dyDescent="0.3">
      <c r="A14" s="5" t="s">
        <v>12</v>
      </c>
      <c r="B14" s="5">
        <v>10</v>
      </c>
      <c r="C14" s="5">
        <v>86.5</v>
      </c>
      <c r="D14" s="5">
        <f t="shared" si="0"/>
        <v>865</v>
      </c>
    </row>
    <row r="15" spans="1:4" ht="19" x14ac:dyDescent="0.3">
      <c r="A15" s="5" t="s">
        <v>13</v>
      </c>
      <c r="B15" s="5">
        <v>10</v>
      </c>
      <c r="C15" s="5">
        <v>86.5</v>
      </c>
      <c r="D15" s="5">
        <f t="shared" si="0"/>
        <v>865</v>
      </c>
    </row>
    <row r="16" spans="1:4" ht="19" x14ac:dyDescent="0.3">
      <c r="A16" s="5" t="s">
        <v>14</v>
      </c>
      <c r="B16" s="5">
        <v>10</v>
      </c>
      <c r="C16" s="5">
        <v>71</v>
      </c>
      <c r="D16" s="5">
        <f t="shared" si="0"/>
        <v>710</v>
      </c>
    </row>
    <row r="17" spans="1:4" ht="19" x14ac:dyDescent="0.3">
      <c r="A17" s="5" t="s">
        <v>15</v>
      </c>
      <c r="B17" s="5">
        <v>10</v>
      </c>
      <c r="C17" s="5">
        <v>66.099999999999994</v>
      </c>
      <c r="D17" s="5">
        <f t="shared" si="0"/>
        <v>661</v>
      </c>
    </row>
    <row r="18" spans="1:4" ht="19" x14ac:dyDescent="0.3">
      <c r="A18" s="5" t="s">
        <v>16</v>
      </c>
      <c r="B18" s="5">
        <v>10</v>
      </c>
      <c r="C18" s="5">
        <v>58.5</v>
      </c>
      <c r="D18" s="5">
        <f t="shared" si="0"/>
        <v>585</v>
      </c>
    </row>
    <row r="19" spans="1:4" ht="19" x14ac:dyDescent="0.3">
      <c r="A19" s="5" t="s">
        <v>17</v>
      </c>
      <c r="B19" s="5">
        <v>10</v>
      </c>
      <c r="C19" s="5">
        <v>99</v>
      </c>
      <c r="D19" s="5">
        <f t="shared" si="0"/>
        <v>990</v>
      </c>
    </row>
    <row r="20" spans="1:4" ht="19" x14ac:dyDescent="0.3">
      <c r="A20" s="5"/>
      <c r="B20" s="5"/>
      <c r="C20" s="5"/>
      <c r="D20" s="5"/>
    </row>
    <row r="21" spans="1:4" ht="19" x14ac:dyDescent="0.3">
      <c r="A21" s="3" t="s">
        <v>49</v>
      </c>
      <c r="B21" s="5">
        <f xml:space="preserve"> SUM(B3:B19)</f>
        <v>170</v>
      </c>
      <c r="C21" s="5">
        <f>SUM(C3:C19)</f>
        <v>1190.8999999999999</v>
      </c>
      <c r="D21" s="5">
        <f>SUM(D3:D19)</f>
        <v>11909</v>
      </c>
    </row>
    <row r="22" spans="1:4" ht="19" x14ac:dyDescent="0.3">
      <c r="A22" s="5"/>
      <c r="B22" s="5"/>
      <c r="C22" s="5"/>
      <c r="D22" s="5"/>
    </row>
    <row r="23" spans="1:4" ht="19" x14ac:dyDescent="0.3">
      <c r="A23" s="7" t="s">
        <v>47</v>
      </c>
      <c r="B23" s="8"/>
      <c r="C23" s="6">
        <f>D21/B21</f>
        <v>70.052941176470583</v>
      </c>
      <c r="D23" s="5"/>
    </row>
    <row r="24" spans="1:4" ht="19" x14ac:dyDescent="0.3">
      <c r="A24" s="7" t="s">
        <v>48</v>
      </c>
      <c r="B24" s="6"/>
      <c r="C24" s="6">
        <f>C23/5</f>
        <v>14.010588235294117</v>
      </c>
      <c r="D24" s="5"/>
    </row>
    <row r="49" spans="1:1" ht="17" x14ac:dyDescent="0.2">
      <c r="A49" s="1"/>
    </row>
    <row r="67" spans="1:1" ht="17" x14ac:dyDescent="0.2">
      <c r="A67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29E4-5DAD-AA4C-831D-9DD7560186C3}">
  <dimension ref="A1:D21"/>
  <sheetViews>
    <sheetView workbookViewId="0">
      <selection activeCell="C4" sqref="C4"/>
    </sheetView>
  </sheetViews>
  <sheetFormatPr baseColWidth="10" defaultRowHeight="16" x14ac:dyDescent="0.2"/>
  <cols>
    <col min="1" max="1" width="47.83203125" customWidth="1"/>
  </cols>
  <sheetData>
    <row r="1" spans="1:4" ht="17" x14ac:dyDescent="0.2">
      <c r="A1" s="1" t="s">
        <v>18</v>
      </c>
    </row>
    <row r="2" spans="1:4" ht="17" x14ac:dyDescent="0.2">
      <c r="A2" s="1"/>
    </row>
    <row r="3" spans="1:4" ht="19" x14ac:dyDescent="0.3">
      <c r="A3" s="5" t="s">
        <v>19</v>
      </c>
      <c r="B3" s="5">
        <v>15</v>
      </c>
      <c r="C3" s="5">
        <v>65.5</v>
      </c>
      <c r="D3" s="5">
        <f>C3*B3</f>
        <v>982.5</v>
      </c>
    </row>
    <row r="4" spans="1:4" ht="19" x14ac:dyDescent="0.3">
      <c r="A4" s="5" t="s">
        <v>20</v>
      </c>
      <c r="B4" s="5">
        <v>15</v>
      </c>
      <c r="C4" s="5">
        <v>79</v>
      </c>
      <c r="D4" s="5">
        <f t="shared" ref="D4:D16" si="0">C4*B4</f>
        <v>1185</v>
      </c>
    </row>
    <row r="5" spans="1:4" ht="19" x14ac:dyDescent="0.3">
      <c r="A5" s="5" t="s">
        <v>21</v>
      </c>
      <c r="B5" s="5">
        <v>10</v>
      </c>
      <c r="C5" s="5">
        <v>79</v>
      </c>
      <c r="D5" s="5">
        <f t="shared" si="0"/>
        <v>790</v>
      </c>
    </row>
    <row r="6" spans="1:4" ht="19" x14ac:dyDescent="0.3">
      <c r="A6" s="5" t="s">
        <v>22</v>
      </c>
      <c r="B6" s="5">
        <v>10</v>
      </c>
      <c r="C6" s="5">
        <v>73</v>
      </c>
      <c r="D6" s="5">
        <f t="shared" si="0"/>
        <v>730</v>
      </c>
    </row>
    <row r="7" spans="1:4" ht="19" x14ac:dyDescent="0.3">
      <c r="A7" s="5" t="s">
        <v>23</v>
      </c>
      <c r="B7" s="5">
        <v>10</v>
      </c>
      <c r="C7" s="5">
        <v>73</v>
      </c>
      <c r="D7" s="5">
        <f t="shared" si="0"/>
        <v>730</v>
      </c>
    </row>
    <row r="8" spans="1:4" ht="19" x14ac:dyDescent="0.3">
      <c r="A8" s="5" t="s">
        <v>24</v>
      </c>
      <c r="B8" s="5">
        <v>15</v>
      </c>
      <c r="C8" s="5">
        <v>73.83</v>
      </c>
      <c r="D8" s="5">
        <f t="shared" si="0"/>
        <v>1107.45</v>
      </c>
    </row>
    <row r="9" spans="1:4" ht="19" x14ac:dyDescent="0.3">
      <c r="A9" s="5" t="s">
        <v>25</v>
      </c>
      <c r="B9" s="5">
        <v>10</v>
      </c>
      <c r="C9" s="5">
        <v>78.5</v>
      </c>
      <c r="D9" s="5">
        <f t="shared" si="0"/>
        <v>785</v>
      </c>
    </row>
    <row r="10" spans="1:4" ht="19" x14ac:dyDescent="0.3">
      <c r="A10" s="5" t="s">
        <v>26</v>
      </c>
      <c r="B10" s="5">
        <v>15</v>
      </c>
      <c r="C10" s="5">
        <v>64</v>
      </c>
      <c r="D10" s="5">
        <f t="shared" si="0"/>
        <v>960</v>
      </c>
    </row>
    <row r="11" spans="1:4" ht="19" x14ac:dyDescent="0.3">
      <c r="A11" s="5" t="s">
        <v>27</v>
      </c>
      <c r="B11" s="5">
        <v>10</v>
      </c>
      <c r="C11" s="5">
        <v>64.5</v>
      </c>
      <c r="D11" s="5">
        <f t="shared" si="0"/>
        <v>645</v>
      </c>
    </row>
    <row r="12" spans="1:4" ht="19" x14ac:dyDescent="0.3">
      <c r="A12" s="5" t="s">
        <v>28</v>
      </c>
      <c r="B12" s="5">
        <v>10</v>
      </c>
      <c r="C12" s="5">
        <v>76</v>
      </c>
      <c r="D12" s="5">
        <f t="shared" si="0"/>
        <v>760</v>
      </c>
    </row>
    <row r="13" spans="1:4" ht="19" x14ac:dyDescent="0.3">
      <c r="A13" s="5" t="s">
        <v>29</v>
      </c>
      <c r="B13" s="5">
        <v>10</v>
      </c>
      <c r="C13" s="5">
        <v>70</v>
      </c>
      <c r="D13" s="5">
        <f t="shared" si="0"/>
        <v>700</v>
      </c>
    </row>
    <row r="14" spans="1:4" ht="19" x14ac:dyDescent="0.3">
      <c r="A14" s="5" t="s">
        <v>30</v>
      </c>
      <c r="B14" s="5">
        <v>10</v>
      </c>
      <c r="C14" s="5"/>
      <c r="D14" s="5">
        <f t="shared" si="0"/>
        <v>0</v>
      </c>
    </row>
    <row r="15" spans="1:4" ht="19" x14ac:dyDescent="0.3">
      <c r="A15" s="5" t="s">
        <v>31</v>
      </c>
      <c r="B15" s="5">
        <v>10</v>
      </c>
      <c r="C15" s="5">
        <v>62.78</v>
      </c>
      <c r="D15" s="5">
        <f t="shared" si="0"/>
        <v>627.79999999999995</v>
      </c>
    </row>
    <row r="16" spans="1:4" ht="19" x14ac:dyDescent="0.3">
      <c r="A16" s="5" t="s">
        <v>32</v>
      </c>
      <c r="B16" s="5">
        <v>10</v>
      </c>
      <c r="C16" s="5">
        <v>80.5</v>
      </c>
      <c r="D16" s="5">
        <f t="shared" si="0"/>
        <v>805</v>
      </c>
    </row>
    <row r="17" spans="1:4" ht="19" x14ac:dyDescent="0.3">
      <c r="A17" s="5"/>
      <c r="B17" s="5"/>
      <c r="C17" s="5"/>
      <c r="D17" s="5"/>
    </row>
    <row r="18" spans="1:4" ht="19" x14ac:dyDescent="0.3">
      <c r="A18" s="3" t="s">
        <v>49</v>
      </c>
      <c r="B18" s="5">
        <f>SUM(B3:B16)</f>
        <v>160</v>
      </c>
      <c r="C18" s="5">
        <f>SUM(C3:C16)</f>
        <v>939.6099999999999</v>
      </c>
      <c r="D18" s="5">
        <f>SUM(D3:D16)</f>
        <v>10807.75</v>
      </c>
    </row>
    <row r="19" spans="1:4" ht="19" x14ac:dyDescent="0.3">
      <c r="A19" s="5"/>
      <c r="B19" s="5"/>
      <c r="C19" s="5"/>
      <c r="D19" s="5"/>
    </row>
    <row r="20" spans="1:4" ht="19" x14ac:dyDescent="0.3">
      <c r="A20" s="7" t="s">
        <v>47</v>
      </c>
      <c r="B20" s="6"/>
      <c r="C20" s="6">
        <f>D18/B18</f>
        <v>67.548437500000006</v>
      </c>
      <c r="D20" s="5"/>
    </row>
    <row r="21" spans="1:4" ht="19" x14ac:dyDescent="0.3">
      <c r="A21" s="7" t="s">
        <v>48</v>
      </c>
      <c r="B21" s="5"/>
      <c r="C21" s="6">
        <f>C20/5</f>
        <v>13.509687500000002</v>
      </c>
      <c r="D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983C-7F4E-4443-AB02-48731DFAD8E4}">
  <dimension ref="A1:D24"/>
  <sheetViews>
    <sheetView tabSelected="1" workbookViewId="0">
      <selection activeCell="C10" sqref="C10"/>
    </sheetView>
  </sheetViews>
  <sheetFormatPr baseColWidth="10" defaultRowHeight="16" x14ac:dyDescent="0.2"/>
  <cols>
    <col min="1" max="1" width="43.83203125" customWidth="1"/>
    <col min="3" max="3" width="12" customWidth="1"/>
  </cols>
  <sheetData>
    <row r="1" spans="1:4" ht="17" x14ac:dyDescent="0.2">
      <c r="A1" s="1" t="s">
        <v>33</v>
      </c>
    </row>
    <row r="2" spans="1:4" ht="17" x14ac:dyDescent="0.2">
      <c r="A2" s="1"/>
    </row>
    <row r="3" spans="1:4" ht="19" x14ac:dyDescent="0.3">
      <c r="A3" s="5" t="s">
        <v>34</v>
      </c>
      <c r="B3" s="5">
        <v>20</v>
      </c>
      <c r="C3" s="5">
        <v>95.5</v>
      </c>
      <c r="D3" s="5">
        <f>C3*B3</f>
        <v>1910</v>
      </c>
    </row>
    <row r="4" spans="1:4" ht="19" x14ac:dyDescent="0.3">
      <c r="A4" s="5" t="s">
        <v>35</v>
      </c>
      <c r="B4" s="5">
        <v>10</v>
      </c>
      <c r="C4" s="5"/>
      <c r="D4" s="5">
        <f t="shared" ref="D4:D15" si="0">C4*B4</f>
        <v>0</v>
      </c>
    </row>
    <row r="5" spans="1:4" ht="19" x14ac:dyDescent="0.3">
      <c r="A5" s="5" t="s">
        <v>36</v>
      </c>
      <c r="B5" s="5">
        <v>20</v>
      </c>
      <c r="C5" s="5">
        <v>88</v>
      </c>
      <c r="D5" s="5">
        <f t="shared" si="0"/>
        <v>1760</v>
      </c>
    </row>
    <row r="6" spans="1:4" ht="19" x14ac:dyDescent="0.3">
      <c r="A6" s="5" t="s">
        <v>37</v>
      </c>
      <c r="B6" s="5">
        <v>10</v>
      </c>
      <c r="C6" s="5">
        <v>70.5</v>
      </c>
      <c r="D6" s="5">
        <f t="shared" si="0"/>
        <v>705</v>
      </c>
    </row>
    <row r="7" spans="1:4" ht="19" x14ac:dyDescent="0.3">
      <c r="A7" s="5" t="s">
        <v>38</v>
      </c>
      <c r="B7" s="5">
        <v>10</v>
      </c>
      <c r="C7" s="5">
        <v>53.81</v>
      </c>
      <c r="D7" s="5">
        <f t="shared" si="0"/>
        <v>538.1</v>
      </c>
    </row>
    <row r="8" spans="1:4" ht="19" x14ac:dyDescent="0.3">
      <c r="A8" s="5" t="s">
        <v>39</v>
      </c>
      <c r="B8" s="5">
        <v>10</v>
      </c>
      <c r="C8" s="5"/>
      <c r="D8" s="5">
        <f t="shared" si="0"/>
        <v>0</v>
      </c>
    </row>
    <row r="9" spans="1:4" ht="19" x14ac:dyDescent="0.3">
      <c r="A9" s="5" t="s">
        <v>40</v>
      </c>
      <c r="B9" s="5">
        <v>10</v>
      </c>
      <c r="C9" s="5"/>
      <c r="D9" s="5">
        <f t="shared" si="0"/>
        <v>0</v>
      </c>
    </row>
    <row r="10" spans="1:4" ht="19" x14ac:dyDescent="0.3">
      <c r="A10" s="5" t="s">
        <v>41</v>
      </c>
      <c r="B10" s="5">
        <v>10</v>
      </c>
      <c r="C10" s="5"/>
      <c r="D10" s="5">
        <f t="shared" si="0"/>
        <v>0</v>
      </c>
    </row>
    <row r="11" spans="1:4" ht="19" x14ac:dyDescent="0.3">
      <c r="A11" s="5" t="s">
        <v>42</v>
      </c>
      <c r="B11" s="5">
        <v>10</v>
      </c>
      <c r="C11" s="5">
        <v>97.7</v>
      </c>
      <c r="D11" s="5">
        <f t="shared" si="0"/>
        <v>977</v>
      </c>
    </row>
    <row r="12" spans="1:4" ht="19" x14ac:dyDescent="0.3">
      <c r="A12" s="5" t="s">
        <v>43</v>
      </c>
      <c r="B12" s="5">
        <v>10</v>
      </c>
      <c r="C12" s="5"/>
      <c r="D12" s="5">
        <f t="shared" si="0"/>
        <v>0</v>
      </c>
    </row>
    <row r="13" spans="1:4" ht="19" x14ac:dyDescent="0.3">
      <c r="A13" s="5" t="s">
        <v>44</v>
      </c>
      <c r="B13" s="5">
        <v>10</v>
      </c>
      <c r="C13" s="5">
        <v>80</v>
      </c>
      <c r="D13" s="5">
        <f t="shared" si="0"/>
        <v>800</v>
      </c>
    </row>
    <row r="14" spans="1:4" ht="19" x14ac:dyDescent="0.3">
      <c r="A14" s="5" t="s">
        <v>45</v>
      </c>
      <c r="B14" s="5">
        <v>20</v>
      </c>
      <c r="C14" s="5"/>
      <c r="D14" s="5">
        <f t="shared" si="0"/>
        <v>0</v>
      </c>
    </row>
    <row r="15" spans="1:4" ht="19" x14ac:dyDescent="0.3">
      <c r="A15" s="5" t="s">
        <v>46</v>
      </c>
      <c r="B15" s="5">
        <v>10</v>
      </c>
      <c r="C15" s="5"/>
      <c r="D15" s="5">
        <f t="shared" si="0"/>
        <v>0</v>
      </c>
    </row>
    <row r="16" spans="1:4" ht="19" x14ac:dyDescent="0.3">
      <c r="A16" s="5"/>
      <c r="B16" s="5"/>
      <c r="C16" s="5"/>
      <c r="D16" s="5"/>
    </row>
    <row r="17" spans="1:4" ht="19" x14ac:dyDescent="0.3">
      <c r="A17" s="3" t="s">
        <v>49</v>
      </c>
      <c r="B17" s="5">
        <f>SUM(B3:B15)</f>
        <v>160</v>
      </c>
      <c r="C17" s="5">
        <f>SUM(C3:C15)</f>
        <v>485.51</v>
      </c>
      <c r="D17" s="5">
        <f>SUM(D3:D15)</f>
        <v>6690.1</v>
      </c>
    </row>
    <row r="18" spans="1:4" ht="19" x14ac:dyDescent="0.3">
      <c r="A18" s="5"/>
      <c r="B18" s="5"/>
      <c r="C18" s="5"/>
      <c r="D18" s="5"/>
    </row>
    <row r="19" spans="1:4" ht="19" x14ac:dyDescent="0.3">
      <c r="A19" s="7" t="s">
        <v>47</v>
      </c>
      <c r="B19" s="6"/>
      <c r="C19" s="6">
        <f>D17/B17</f>
        <v>41.813124999999999</v>
      </c>
      <c r="D19" s="5"/>
    </row>
    <row r="20" spans="1:4" ht="19" x14ac:dyDescent="0.3">
      <c r="A20" s="7" t="s">
        <v>48</v>
      </c>
      <c r="B20" s="6"/>
      <c r="C20" s="6">
        <f>C19/5</f>
        <v>8.3626249999999995</v>
      </c>
      <c r="D20" s="5"/>
    </row>
    <row r="23" spans="1:4" ht="19" x14ac:dyDescent="0.3">
      <c r="A23" s="9" t="s">
        <v>50</v>
      </c>
      <c r="B23" s="10"/>
      <c r="C23" s="10">
        <f>AVERAGE('Year 1'!C23,'Year 2'!C20,'Year 3'!C19)</f>
        <v>59.804834558823529</v>
      </c>
    </row>
    <row r="24" spans="1:4" ht="19" x14ac:dyDescent="0.3">
      <c r="A24" s="9" t="s">
        <v>51</v>
      </c>
      <c r="B24" s="10"/>
      <c r="C24" s="10">
        <f>AVERAGE('Year 1'!C24, 'Year 2'!C21, 'Year 3'!C20)</f>
        <v>11.960966911764707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1</vt:lpstr>
      <vt:lpstr>Year 2</vt:lpstr>
      <vt:lpstr>Year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2026-02-05T15:48:26Z</dcterms:created>
  <dcterms:modified xsi:type="dcterms:W3CDTF">2026-03-04T20:05:19Z</dcterms:modified>
</cp:coreProperties>
</file>